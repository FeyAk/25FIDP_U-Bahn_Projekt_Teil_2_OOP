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S2025\Documents\_US_FIDP\AnwP-UML-OOP\U-Bahn-Projekt 2.0\Project Owner Idee\"/>
    </mc:Choice>
  </mc:AlternateContent>
  <xr:revisionPtr revIDLastSave="0" documentId="13_ncr:1_{F7B8934A-E1BD-4FA7-A00E-C19E0F14A311}" xr6:coauthVersionLast="47" xr6:coauthVersionMax="47" xr10:uidLastSave="{00000000-0000-0000-0000-000000000000}"/>
  <bookViews>
    <workbookView xWindow="-28920" yWindow="-105" windowWidth="29040" windowHeight="15720" xr2:uid="{7576551D-8EA1-49ED-AFDD-FC9287DB7652}"/>
  </bookViews>
  <sheets>
    <sheet name="U-Bahn Haltestellen" sheetId="2" r:id="rId1"/>
    <sheet name="Fahrplan" sheetId="1" r:id="rId2"/>
    <sheet name="Fahrplan Kopie zum Testen" sheetId="3" r:id="rId3"/>
  </sheets>
  <definedNames>
    <definedName name="ExterneDaten_1" localSheetId="0" hidden="1">'U-Bahn Haltestellen'!$A$1:$D$48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3" l="1"/>
  <c r="J16" i="3"/>
  <c r="J14" i="3"/>
  <c r="J18" i="3" s="1"/>
  <c r="G3" i="3"/>
  <c r="E3" i="3"/>
  <c r="G4" i="3" s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3" i="1"/>
  <c r="L31" i="1"/>
  <c r="F21" i="1"/>
  <c r="F20" i="1" s="1"/>
  <c r="F19" i="1" s="1"/>
  <c r="F18" i="1" s="1"/>
  <c r="F17" i="1" s="1"/>
  <c r="F16" i="1" s="1"/>
  <c r="F15" i="1" s="1"/>
  <c r="F14" i="1" s="1"/>
  <c r="F13" i="1" s="1"/>
  <c r="F12" i="1" s="1"/>
  <c r="F11" i="1" s="1"/>
  <c r="F10" i="1" s="1"/>
  <c r="F9" i="1" s="1"/>
  <c r="F8" i="1" s="1"/>
  <c r="F7" i="1" s="1"/>
  <c r="F6" i="1" s="1"/>
  <c r="F5" i="1" s="1"/>
  <c r="F4" i="1" s="1"/>
  <c r="F3" i="1" s="1"/>
  <c r="F22" i="1"/>
  <c r="F23" i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J22" i="1"/>
  <c r="J16" i="1"/>
  <c r="J14" i="1"/>
  <c r="J24" i="3" l="1"/>
  <c r="J26" i="3" s="1"/>
  <c r="J20" i="3"/>
  <c r="E4" i="3"/>
  <c r="J18" i="1"/>
  <c r="J24" i="1" s="1"/>
  <c r="J26" i="1" s="1"/>
  <c r="G5" i="3" l="1"/>
  <c r="E5" i="3"/>
  <c r="J20" i="1"/>
  <c r="G6" i="3" l="1"/>
  <c r="E6" i="3"/>
  <c r="G7" i="3" l="1"/>
  <c r="E7" i="3"/>
  <c r="G8" i="3" l="1"/>
  <c r="E8" i="3"/>
  <c r="G9" i="3" l="1"/>
  <c r="E9" i="3"/>
  <c r="E10" i="3" l="1"/>
  <c r="G10" i="3"/>
  <c r="G11" i="3" l="1"/>
  <c r="E11" i="3"/>
  <c r="G12" i="3" l="1"/>
  <c r="E12" i="3"/>
  <c r="E13" i="3" s="1"/>
  <c r="G13" i="3" l="1"/>
  <c r="G14" i="3" l="1"/>
  <c r="E14" i="3"/>
  <c r="E15" i="3" l="1"/>
  <c r="G15" i="3"/>
  <c r="G16" i="3" l="1"/>
  <c r="E16" i="3"/>
  <c r="G17" i="3" l="1"/>
  <c r="E17" i="3"/>
  <c r="G18" i="3" l="1"/>
  <c r="E18" i="3"/>
  <c r="G19" i="3" l="1"/>
  <c r="E19" i="3"/>
  <c r="G20" i="3" l="1"/>
  <c r="E20" i="3"/>
  <c r="G21" i="3" l="1"/>
  <c r="E21" i="3"/>
  <c r="G22" i="3" l="1"/>
  <c r="E22" i="3"/>
  <c r="E23" i="3" l="1"/>
  <c r="G23" i="3"/>
  <c r="G24" i="3" l="1"/>
  <c r="E24" i="3"/>
  <c r="H23" i="3" l="1"/>
  <c r="F23" i="3"/>
  <c r="L31" i="3" l="1"/>
  <c r="H22" i="3"/>
  <c r="F22" i="3"/>
  <c r="F21" i="3" l="1"/>
  <c r="H21" i="3"/>
  <c r="H20" i="3" l="1"/>
  <c r="F20" i="3"/>
  <c r="H19" i="3" l="1"/>
  <c r="F19" i="3"/>
  <c r="H18" i="3" l="1"/>
  <c r="F18" i="3"/>
  <c r="H17" i="3" l="1"/>
  <c r="F17" i="3"/>
  <c r="H16" i="3" l="1"/>
  <c r="F16" i="3"/>
  <c r="H15" i="3" l="1"/>
  <c r="F15" i="3"/>
  <c r="F14" i="3" l="1"/>
  <c r="H14" i="3"/>
  <c r="H13" i="3" l="1"/>
  <c r="F13" i="3"/>
  <c r="F12" i="3" l="1"/>
  <c r="H12" i="3"/>
  <c r="H11" i="3" l="1"/>
  <c r="F11" i="3"/>
  <c r="F10" i="3" l="1"/>
  <c r="H10" i="3"/>
  <c r="H9" i="3" l="1"/>
  <c r="F9" i="3"/>
  <c r="H8" i="3" l="1"/>
  <c r="F8" i="3"/>
  <c r="H7" i="3" l="1"/>
  <c r="F7" i="3"/>
  <c r="F6" i="3" l="1"/>
  <c r="H6" i="3"/>
  <c r="H5" i="3" l="1"/>
  <c r="F5" i="3"/>
  <c r="F4" i="3" l="1"/>
  <c r="H4" i="3"/>
  <c r="F3" i="3" l="1"/>
  <c r="H2" i="3" s="1"/>
  <c r="H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A280D0-A0BC-469A-A246-8F99B60170A2}" keepAlive="1" name="Abfrage - U-Bahn Haltestellen" description="Verbindung mit der Abfrage 'U-Bahn Haltestellen' in der Arbeitsmappe." type="5" refreshedVersion="8" background="1" saveData="1">
    <dbPr connection="Provider=Microsoft.Mashup.OleDb.1;Data Source=$Workbook$;Location=&quot;U-Bahn Haltestellen&quot;;Extended Properties=&quot;&quot;" command="SELECT * FROM [U-Bahn Haltestellen]"/>
  </connection>
</connections>
</file>

<file path=xl/sharedStrings.xml><?xml version="1.0" encoding="utf-8"?>
<sst xmlns="http://schemas.openxmlformats.org/spreadsheetml/2006/main" count="250" uniqueCount="73">
  <si>
    <t>U1</t>
  </si>
  <si>
    <t>Langwasser Süd</t>
  </si>
  <si>
    <t>Gemeinschaftshaus</t>
  </si>
  <si>
    <t>Langwasser Mitte</t>
  </si>
  <si>
    <t>Scharfreiterring</t>
  </si>
  <si>
    <t>Langwasser Nord</t>
  </si>
  <si>
    <t>Messe</t>
  </si>
  <si>
    <t>Bauernfeindstraße</t>
  </si>
  <si>
    <t>Hasenbuck</t>
  </si>
  <si>
    <t>Frankenstraße</t>
  </si>
  <si>
    <t>Maffeiplatz</t>
  </si>
  <si>
    <t>Aufseßplatz</t>
  </si>
  <si>
    <t>Hauptbahnhof</t>
  </si>
  <si>
    <t>Lorenzkirche</t>
  </si>
  <si>
    <t>Weißer Turm</t>
  </si>
  <si>
    <t>Plärrer</t>
  </si>
  <si>
    <t>Gostenhof</t>
  </si>
  <si>
    <t>Bärenschanze</t>
  </si>
  <si>
    <t>Maximilianstraße</t>
  </si>
  <si>
    <t>Eberhardshof</t>
  </si>
  <si>
    <t>Muggenhof</t>
  </si>
  <si>
    <t>Stadtgrenze</t>
  </si>
  <si>
    <t>Jakobinenstraße</t>
  </si>
  <si>
    <t>Fürth Hbf.</t>
  </si>
  <si>
    <t>U2</t>
  </si>
  <si>
    <t>Röthenbach</t>
  </si>
  <si>
    <t>Hohe Marter</t>
  </si>
  <si>
    <t>Schweinau</t>
  </si>
  <si>
    <t>St. Leonhard</t>
  </si>
  <si>
    <t>Rothenburger Straße</t>
  </si>
  <si>
    <t>Opernhaus</t>
  </si>
  <si>
    <t>Wöhrder Wiese</t>
  </si>
  <si>
    <t>Rathenauplatz</t>
  </si>
  <si>
    <t>Rennweg</t>
  </si>
  <si>
    <t>Schoppershof</t>
  </si>
  <si>
    <t>Nordostbahnhof</t>
  </si>
  <si>
    <t>Herrnhütte</t>
  </si>
  <si>
    <t>Ziegelstein</t>
  </si>
  <si>
    <t>Flughafen</t>
  </si>
  <si>
    <t>U3</t>
  </si>
  <si>
    <t>Gustav-Adolf-Straße</t>
  </si>
  <si>
    <t>Sündersbühl</t>
  </si>
  <si>
    <t>Maxfeld</t>
  </si>
  <si>
    <t>Kaulbachplatz</t>
  </si>
  <si>
    <t>Friedrich-Ebert-Platz</t>
  </si>
  <si>
    <t>Linie</t>
  </si>
  <si>
    <t>Haltestelle</t>
  </si>
  <si>
    <t>Fahrtzeit</t>
  </si>
  <si>
    <t>nächste Haltestelle</t>
  </si>
  <si>
    <t>47 Stationen</t>
  </si>
  <si>
    <t>bis Ende</t>
  </si>
  <si>
    <t>bis Anfang</t>
  </si>
  <si>
    <t>mal</t>
  </si>
  <si>
    <t>Fahrtzeit eine Richtung ohne Stops in min</t>
  </si>
  <si>
    <t>Stops hin in sec</t>
  </si>
  <si>
    <t>Ankunft Endhaltestelle nach sec</t>
  </si>
  <si>
    <t>Ankunft Endhaltestelle nach min</t>
  </si>
  <si>
    <t>Ankunft Starthaltestelle nach min</t>
  </si>
  <si>
    <t>Stops zurück in sec</t>
  </si>
  <si>
    <t>Ankunft Starthaltestelle nach sec</t>
  </si>
  <si>
    <t>Haltezeit</t>
  </si>
  <si>
    <t>=E2+(C2/1440)+(D3/86400)</t>
  </si>
  <si>
    <t>Abfahrt rück</t>
  </si>
  <si>
    <t>Abfahrt hin</t>
  </si>
  <si>
    <t>Ankunft hin</t>
  </si>
  <si>
    <t>Ankunft rück</t>
  </si>
  <si>
    <t>Formel Abfahrt hin E3:</t>
  </si>
  <si>
    <t>Formel Abfahrt zurück F23:</t>
  </si>
  <si>
    <t>=E24+(C23/1440)+(D23/86400)</t>
  </si>
  <si>
    <t>Formel Abfahrt zurück F22:</t>
  </si>
  <si>
    <t xml:space="preserve">Kennwort Blattschutz: </t>
  </si>
  <si>
    <t>Schutz</t>
  </si>
  <si>
    <t>gilt für alle Blätter!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</si>
</sst>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h:mm:ss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Standard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3F77978B-14C3-4666-8411-02E9F543B99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2BD848-C6CA-4B88-AA07-EDF3BAFE018B}" name="U_Bahn_Haltestellen" displayName="U_Bahn_Haltestellen" ref="A1:D48" tableType="queryTable" totalsRowShown="0">
  <autoFilter ref="A1:D48" xr:uid="{F22BD848-C6CA-4B88-AA07-EDF3BAFE018B}"/>
  <tableColumns count="4">
    <tableColumn id="1" xr3:uid="{0EC1FAB3-B465-4947-9EB3-0DD9DAEA8BC2}" uniqueName="1" name="Linie" queryTableFieldId="1" dataDxfId="2"/>
    <tableColumn id="2" xr3:uid="{CD5F8F2D-E3E2-40BC-BF6E-014762730AEC}" uniqueName="2" name="Haltestelle" queryTableFieldId="2" dataDxfId="1"/>
    <tableColumn id="3" xr3:uid="{EBF63ED2-3B45-4598-82C6-BB720B9A70DF}" uniqueName="3" name="Fahrtzeit" queryTableFieldId="3"/>
    <tableColumn id="4" xr3:uid="{167917B6-4512-4D77-AFB4-578252D2F931}" uniqueName="4" name="nächste Haltestell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09233-EFAA-42B4-BACB-1694DDF648EF}">
  <dimension ref="A1:H48"/>
  <sheetViews>
    <sheetView tabSelected="1" workbookViewId="0">
      <selection activeCell="F16" sqref="F16"/>
    </sheetView>
  </sheetViews>
  <sheetFormatPr baseColWidth="10" defaultRowHeight="15" x14ac:dyDescent="0.25"/>
  <cols>
    <col min="2" max="2" width="18.85546875" bestFit="1" customWidth="1"/>
    <col min="4" max="4" width="19.140625" bestFit="1" customWidth="1"/>
  </cols>
  <sheetData>
    <row r="1" spans="1:8" x14ac:dyDescent="0.25">
      <c r="A1" t="s">
        <v>45</v>
      </c>
      <c r="B1" t="s">
        <v>46</v>
      </c>
      <c r="C1" t="s">
        <v>47</v>
      </c>
      <c r="D1" t="s">
        <v>48</v>
      </c>
    </row>
    <row r="2" spans="1:8" x14ac:dyDescent="0.25">
      <c r="A2" t="s">
        <v>0</v>
      </c>
      <c r="B2" t="s">
        <v>1</v>
      </c>
      <c r="C2">
        <v>3</v>
      </c>
      <c r="D2" t="s">
        <v>2</v>
      </c>
      <c r="F2" t="s">
        <v>70</v>
      </c>
      <c r="H2" t="s">
        <v>71</v>
      </c>
    </row>
    <row r="3" spans="1:8" x14ac:dyDescent="0.25">
      <c r="A3" t="s">
        <v>0</v>
      </c>
      <c r="B3" t="s">
        <v>2</v>
      </c>
      <c r="C3">
        <v>2</v>
      </c>
      <c r="D3" t="s">
        <v>3</v>
      </c>
      <c r="F3" t="s">
        <v>72</v>
      </c>
    </row>
    <row r="4" spans="1:8" x14ac:dyDescent="0.25">
      <c r="A4" t="s">
        <v>0</v>
      </c>
      <c r="B4" t="s">
        <v>3</v>
      </c>
      <c r="C4">
        <v>2</v>
      </c>
      <c r="D4" t="s">
        <v>4</v>
      </c>
    </row>
    <row r="5" spans="1:8" x14ac:dyDescent="0.25">
      <c r="A5" t="s">
        <v>0</v>
      </c>
      <c r="B5" t="s">
        <v>4</v>
      </c>
      <c r="C5">
        <v>3</v>
      </c>
      <c r="D5" t="s">
        <v>5</v>
      </c>
    </row>
    <row r="6" spans="1:8" x14ac:dyDescent="0.25">
      <c r="A6" t="s">
        <v>0</v>
      </c>
      <c r="B6" t="s">
        <v>5</v>
      </c>
      <c r="C6">
        <v>2</v>
      </c>
      <c r="D6" t="s">
        <v>6</v>
      </c>
    </row>
    <row r="7" spans="1:8" x14ac:dyDescent="0.25">
      <c r="A7" t="s">
        <v>0</v>
      </c>
      <c r="B7" t="s">
        <v>6</v>
      </c>
      <c r="C7">
        <v>3</v>
      </c>
      <c r="D7" t="s">
        <v>7</v>
      </c>
    </row>
    <row r="8" spans="1:8" x14ac:dyDescent="0.25">
      <c r="A8" t="s">
        <v>0</v>
      </c>
      <c r="B8" t="s">
        <v>7</v>
      </c>
      <c r="C8">
        <v>2</v>
      </c>
      <c r="D8" t="s">
        <v>8</v>
      </c>
    </row>
    <row r="9" spans="1:8" x14ac:dyDescent="0.25">
      <c r="A9" t="s">
        <v>0</v>
      </c>
      <c r="B9" t="s">
        <v>8</v>
      </c>
      <c r="C9">
        <v>2</v>
      </c>
      <c r="D9" t="s">
        <v>9</v>
      </c>
    </row>
    <row r="10" spans="1:8" x14ac:dyDescent="0.25">
      <c r="A10" t="s">
        <v>0</v>
      </c>
      <c r="B10" t="s">
        <v>9</v>
      </c>
      <c r="C10">
        <v>2</v>
      </c>
      <c r="D10" t="s">
        <v>10</v>
      </c>
    </row>
    <row r="11" spans="1:8" x14ac:dyDescent="0.25">
      <c r="A11" t="s">
        <v>0</v>
      </c>
      <c r="B11" t="s">
        <v>10</v>
      </c>
      <c r="C11">
        <v>1</v>
      </c>
      <c r="D11" t="s">
        <v>11</v>
      </c>
    </row>
    <row r="12" spans="1:8" x14ac:dyDescent="0.25">
      <c r="A12" t="s">
        <v>0</v>
      </c>
      <c r="B12" t="s">
        <v>11</v>
      </c>
      <c r="C12">
        <v>2</v>
      </c>
      <c r="D12" t="s">
        <v>12</v>
      </c>
    </row>
    <row r="13" spans="1:8" x14ac:dyDescent="0.25">
      <c r="A13" t="s">
        <v>0</v>
      </c>
      <c r="B13" t="s">
        <v>12</v>
      </c>
      <c r="C13">
        <v>2</v>
      </c>
      <c r="D13" t="s">
        <v>13</v>
      </c>
    </row>
    <row r="14" spans="1:8" x14ac:dyDescent="0.25">
      <c r="A14" t="s">
        <v>0</v>
      </c>
      <c r="B14" t="s">
        <v>13</v>
      </c>
      <c r="C14">
        <v>3</v>
      </c>
      <c r="D14" t="s">
        <v>14</v>
      </c>
    </row>
    <row r="15" spans="1:8" x14ac:dyDescent="0.25">
      <c r="A15" t="s">
        <v>0</v>
      </c>
      <c r="B15" t="s">
        <v>14</v>
      </c>
      <c r="C15">
        <v>2</v>
      </c>
      <c r="D15" t="s">
        <v>15</v>
      </c>
    </row>
    <row r="16" spans="1:8" x14ac:dyDescent="0.25">
      <c r="A16" t="s">
        <v>0</v>
      </c>
      <c r="B16" t="s">
        <v>15</v>
      </c>
      <c r="C16">
        <v>2</v>
      </c>
      <c r="D16" t="s">
        <v>16</v>
      </c>
    </row>
    <row r="17" spans="1:4" x14ac:dyDescent="0.25">
      <c r="A17" t="s">
        <v>0</v>
      </c>
      <c r="B17" t="s">
        <v>16</v>
      </c>
      <c r="C17">
        <v>1</v>
      </c>
      <c r="D17" t="s">
        <v>17</v>
      </c>
    </row>
    <row r="18" spans="1:4" x14ac:dyDescent="0.25">
      <c r="A18" t="s">
        <v>0</v>
      </c>
      <c r="B18" t="s">
        <v>17</v>
      </c>
      <c r="C18">
        <v>2</v>
      </c>
      <c r="D18" t="s">
        <v>18</v>
      </c>
    </row>
    <row r="19" spans="1:4" x14ac:dyDescent="0.25">
      <c r="A19" t="s">
        <v>0</v>
      </c>
      <c r="B19" t="s">
        <v>18</v>
      </c>
      <c r="C19">
        <v>2</v>
      </c>
      <c r="D19" t="s">
        <v>19</v>
      </c>
    </row>
    <row r="20" spans="1:4" x14ac:dyDescent="0.25">
      <c r="A20" t="s">
        <v>0</v>
      </c>
      <c r="B20" t="s">
        <v>19</v>
      </c>
      <c r="C20">
        <v>2</v>
      </c>
      <c r="D20" t="s">
        <v>20</v>
      </c>
    </row>
    <row r="21" spans="1:4" x14ac:dyDescent="0.25">
      <c r="A21" t="s">
        <v>0</v>
      </c>
      <c r="B21" t="s">
        <v>20</v>
      </c>
      <c r="C21">
        <v>3</v>
      </c>
      <c r="D21" t="s">
        <v>21</v>
      </c>
    </row>
    <row r="22" spans="1:4" x14ac:dyDescent="0.25">
      <c r="A22" t="s">
        <v>0</v>
      </c>
      <c r="B22" t="s">
        <v>21</v>
      </c>
      <c r="C22">
        <v>2</v>
      </c>
      <c r="D22" t="s">
        <v>22</v>
      </c>
    </row>
    <row r="23" spans="1:4" x14ac:dyDescent="0.25">
      <c r="A23" t="s">
        <v>0</v>
      </c>
      <c r="B23" t="s">
        <v>22</v>
      </c>
      <c r="C23">
        <v>3</v>
      </c>
      <c r="D23" t="s">
        <v>23</v>
      </c>
    </row>
    <row r="24" spans="1:4" x14ac:dyDescent="0.25">
      <c r="A24" t="s">
        <v>24</v>
      </c>
      <c r="B24" t="s">
        <v>25</v>
      </c>
      <c r="C24">
        <v>2</v>
      </c>
      <c r="D24" t="s">
        <v>26</v>
      </c>
    </row>
    <row r="25" spans="1:4" x14ac:dyDescent="0.25">
      <c r="A25" t="s">
        <v>24</v>
      </c>
      <c r="B25" t="s">
        <v>26</v>
      </c>
      <c r="C25">
        <v>2</v>
      </c>
      <c r="D25" t="s">
        <v>27</v>
      </c>
    </row>
    <row r="26" spans="1:4" x14ac:dyDescent="0.25">
      <c r="A26" t="s">
        <v>24</v>
      </c>
      <c r="B26" t="s">
        <v>27</v>
      </c>
      <c r="C26">
        <v>2</v>
      </c>
      <c r="D26" t="s">
        <v>28</v>
      </c>
    </row>
    <row r="27" spans="1:4" x14ac:dyDescent="0.25">
      <c r="A27" t="s">
        <v>24</v>
      </c>
      <c r="B27" t="s">
        <v>28</v>
      </c>
      <c r="C27">
        <v>2</v>
      </c>
      <c r="D27" t="s">
        <v>29</v>
      </c>
    </row>
    <row r="28" spans="1:4" x14ac:dyDescent="0.25">
      <c r="A28" t="s">
        <v>24</v>
      </c>
      <c r="B28" t="s">
        <v>29</v>
      </c>
      <c r="C28">
        <v>3</v>
      </c>
      <c r="D28" t="s">
        <v>15</v>
      </c>
    </row>
    <row r="29" spans="1:4" x14ac:dyDescent="0.25">
      <c r="A29" t="s">
        <v>24</v>
      </c>
      <c r="B29" t="s">
        <v>15</v>
      </c>
      <c r="C29">
        <v>2</v>
      </c>
      <c r="D29" t="s">
        <v>30</v>
      </c>
    </row>
    <row r="30" spans="1:4" x14ac:dyDescent="0.25">
      <c r="A30" t="s">
        <v>24</v>
      </c>
      <c r="B30" t="s">
        <v>30</v>
      </c>
      <c r="C30">
        <v>2</v>
      </c>
      <c r="D30" t="s">
        <v>12</v>
      </c>
    </row>
    <row r="31" spans="1:4" x14ac:dyDescent="0.25">
      <c r="A31" t="s">
        <v>24</v>
      </c>
      <c r="B31" t="s">
        <v>12</v>
      </c>
      <c r="C31">
        <v>2</v>
      </c>
      <c r="D31" t="s">
        <v>31</v>
      </c>
    </row>
    <row r="32" spans="1:4" x14ac:dyDescent="0.25">
      <c r="A32" t="s">
        <v>24</v>
      </c>
      <c r="B32" t="s">
        <v>31</v>
      </c>
      <c r="C32">
        <v>1</v>
      </c>
      <c r="D32" t="s">
        <v>32</v>
      </c>
    </row>
    <row r="33" spans="1:4" x14ac:dyDescent="0.25">
      <c r="A33" t="s">
        <v>24</v>
      </c>
      <c r="B33" t="s">
        <v>32</v>
      </c>
      <c r="C33">
        <v>2</v>
      </c>
      <c r="D33" t="s">
        <v>33</v>
      </c>
    </row>
    <row r="34" spans="1:4" x14ac:dyDescent="0.25">
      <c r="A34" t="s">
        <v>24</v>
      </c>
      <c r="B34" t="s">
        <v>33</v>
      </c>
      <c r="C34">
        <v>2</v>
      </c>
      <c r="D34" t="s">
        <v>34</v>
      </c>
    </row>
    <row r="35" spans="1:4" x14ac:dyDescent="0.25">
      <c r="A35" t="s">
        <v>24</v>
      </c>
      <c r="B35" t="s">
        <v>34</v>
      </c>
      <c r="C35">
        <v>2</v>
      </c>
      <c r="D35" t="s">
        <v>35</v>
      </c>
    </row>
    <row r="36" spans="1:4" x14ac:dyDescent="0.25">
      <c r="A36" t="s">
        <v>24</v>
      </c>
      <c r="B36" t="s">
        <v>35</v>
      </c>
      <c r="C36">
        <v>3</v>
      </c>
      <c r="D36" t="s">
        <v>36</v>
      </c>
    </row>
    <row r="37" spans="1:4" x14ac:dyDescent="0.25">
      <c r="A37" t="s">
        <v>24</v>
      </c>
      <c r="B37" t="s">
        <v>36</v>
      </c>
      <c r="C37">
        <v>2</v>
      </c>
      <c r="D37" t="s">
        <v>37</v>
      </c>
    </row>
    <row r="38" spans="1:4" x14ac:dyDescent="0.25">
      <c r="A38" t="s">
        <v>24</v>
      </c>
      <c r="B38" t="s">
        <v>37</v>
      </c>
      <c r="C38">
        <v>3</v>
      </c>
      <c r="D38" t="s">
        <v>38</v>
      </c>
    </row>
    <row r="39" spans="1:4" x14ac:dyDescent="0.25">
      <c r="A39" t="s">
        <v>39</v>
      </c>
      <c r="B39" t="s">
        <v>40</v>
      </c>
      <c r="C39">
        <v>4</v>
      </c>
      <c r="D39" t="s">
        <v>41</v>
      </c>
    </row>
    <row r="40" spans="1:4" x14ac:dyDescent="0.25">
      <c r="A40" t="s">
        <v>39</v>
      </c>
      <c r="B40" t="s">
        <v>41</v>
      </c>
      <c r="C40">
        <v>2</v>
      </c>
      <c r="D40" t="s">
        <v>29</v>
      </c>
    </row>
    <row r="41" spans="1:4" x14ac:dyDescent="0.25">
      <c r="A41" t="s">
        <v>39</v>
      </c>
      <c r="B41" t="s">
        <v>29</v>
      </c>
      <c r="C41">
        <v>3</v>
      </c>
      <c r="D41" t="s">
        <v>15</v>
      </c>
    </row>
    <row r="42" spans="1:4" x14ac:dyDescent="0.25">
      <c r="A42" t="s">
        <v>39</v>
      </c>
      <c r="B42" t="s">
        <v>15</v>
      </c>
      <c r="C42">
        <v>2</v>
      </c>
      <c r="D42" t="s">
        <v>30</v>
      </c>
    </row>
    <row r="43" spans="1:4" x14ac:dyDescent="0.25">
      <c r="A43" t="s">
        <v>39</v>
      </c>
      <c r="B43" t="s">
        <v>30</v>
      </c>
      <c r="C43">
        <v>2</v>
      </c>
      <c r="D43" t="s">
        <v>12</v>
      </c>
    </row>
    <row r="44" spans="1:4" x14ac:dyDescent="0.25">
      <c r="A44" t="s">
        <v>39</v>
      </c>
      <c r="B44" t="s">
        <v>12</v>
      </c>
      <c r="C44">
        <v>2</v>
      </c>
      <c r="D44" t="s">
        <v>31</v>
      </c>
    </row>
    <row r="45" spans="1:4" x14ac:dyDescent="0.25">
      <c r="A45" t="s">
        <v>39</v>
      </c>
      <c r="B45" t="s">
        <v>31</v>
      </c>
      <c r="C45">
        <v>1</v>
      </c>
      <c r="D45" t="s">
        <v>32</v>
      </c>
    </row>
    <row r="46" spans="1:4" x14ac:dyDescent="0.25">
      <c r="A46" t="s">
        <v>39</v>
      </c>
      <c r="B46" t="s">
        <v>32</v>
      </c>
      <c r="C46">
        <v>2</v>
      </c>
      <c r="D46" t="s">
        <v>42</v>
      </c>
    </row>
    <row r="47" spans="1:4" x14ac:dyDescent="0.25">
      <c r="A47" t="s">
        <v>39</v>
      </c>
      <c r="B47" t="s">
        <v>42</v>
      </c>
      <c r="C47">
        <v>3</v>
      </c>
      <c r="D47" t="s">
        <v>43</v>
      </c>
    </row>
    <row r="48" spans="1:4" x14ac:dyDescent="0.25">
      <c r="A48" t="s">
        <v>39</v>
      </c>
      <c r="B48" t="s">
        <v>43</v>
      </c>
      <c r="C48">
        <v>2</v>
      </c>
      <c r="D48" t="s">
        <v>44</v>
      </c>
    </row>
  </sheetData>
  <sheetProtection algorithmName="SHA-512" hashValue="f2baUzeOEO3YC7HbiqSqlgXjx7Y8LCQZLwaSZ3CQPn/02z2otn73R3Dfd0GYeh9Iqk1SYVfruNB+V97/Slzepg==" saltValue="/TyOM61vL4aPQq8uovHDbA==" spinCount="100000" sheet="1" objects="1" scenarios="1"/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96835-C411-4FBB-B180-C88F482FBF7A}">
  <dimension ref="B1:L31"/>
  <sheetViews>
    <sheetView workbookViewId="0">
      <selection activeCell="B24" sqref="B24"/>
    </sheetView>
  </sheetViews>
  <sheetFormatPr baseColWidth="10" defaultRowHeight="15" x14ac:dyDescent="0.25"/>
  <cols>
    <col min="2" max="2" width="18.7109375" bestFit="1" customWidth="1"/>
    <col min="3" max="4" width="8.5703125" bestFit="1" customWidth="1"/>
    <col min="6" max="8" width="12.28515625" customWidth="1"/>
    <col min="11" max="11" width="12.7109375" customWidth="1"/>
  </cols>
  <sheetData>
    <row r="1" spans="2:12" x14ac:dyDescent="0.25">
      <c r="B1" t="s">
        <v>46</v>
      </c>
      <c r="C1" t="s">
        <v>47</v>
      </c>
      <c r="D1" t="s">
        <v>60</v>
      </c>
      <c r="E1" t="s">
        <v>63</v>
      </c>
      <c r="F1" t="s">
        <v>62</v>
      </c>
      <c r="G1" t="s">
        <v>64</v>
      </c>
      <c r="H1" t="s">
        <v>65</v>
      </c>
    </row>
    <row r="2" spans="2:12" x14ac:dyDescent="0.25">
      <c r="B2" t="s">
        <v>1</v>
      </c>
      <c r="C2" s="2">
        <v>3</v>
      </c>
      <c r="D2" s="2">
        <v>30</v>
      </c>
      <c r="E2" s="3">
        <v>0.20833333333333334</v>
      </c>
      <c r="F2" s="3"/>
      <c r="G2" s="3"/>
      <c r="H2" s="3">
        <f t="shared" ref="H2:H21" si="0">F3+(C2/1440)</f>
        <v>0.29166666666666641</v>
      </c>
    </row>
    <row r="3" spans="2:12" x14ac:dyDescent="0.25">
      <c r="B3" t="s">
        <v>2</v>
      </c>
      <c r="C3" s="2">
        <v>2</v>
      </c>
      <c r="D3" s="2">
        <v>30</v>
      </c>
      <c r="E3" s="3">
        <f>E2+(C2/1440)+(D3/86400)</f>
        <v>0.21076388888888889</v>
      </c>
      <c r="F3" s="3">
        <f t="shared" ref="F3:F21" si="1">F4+(C3/1440)+(D3/86400)</f>
        <v>0.28958333333333308</v>
      </c>
      <c r="G3" s="3">
        <f>E2+(C2/1440)</f>
        <v>0.21041666666666667</v>
      </c>
      <c r="H3" s="3">
        <f t="shared" si="0"/>
        <v>0.28923611111111086</v>
      </c>
    </row>
    <row r="4" spans="2:12" x14ac:dyDescent="0.25">
      <c r="B4" t="s">
        <v>3</v>
      </c>
      <c r="C4" s="2">
        <v>2</v>
      </c>
      <c r="D4" s="2">
        <v>30</v>
      </c>
      <c r="E4" s="3">
        <f t="shared" ref="E4:E24" si="2">E3+(C3/1440)+(D4/86400)</f>
        <v>0.21249999999999999</v>
      </c>
      <c r="F4" s="3">
        <f t="shared" si="1"/>
        <v>0.28784722222222198</v>
      </c>
      <c r="G4" s="3">
        <f t="shared" ref="G4:G26" si="3">E3+(C3/1440)</f>
        <v>0.21215277777777777</v>
      </c>
      <c r="H4" s="3">
        <f t="shared" si="0"/>
        <v>0.28749999999999976</v>
      </c>
      <c r="J4" t="s">
        <v>49</v>
      </c>
    </row>
    <row r="5" spans="2:12" x14ac:dyDescent="0.25">
      <c r="B5" t="s">
        <v>4</v>
      </c>
      <c r="C5" s="2">
        <v>3</v>
      </c>
      <c r="D5" s="2">
        <v>30</v>
      </c>
      <c r="E5" s="3">
        <f t="shared" si="2"/>
        <v>0.2142361111111111</v>
      </c>
      <c r="F5" s="3">
        <f t="shared" si="1"/>
        <v>0.28611111111111087</v>
      </c>
      <c r="G5" s="3">
        <f t="shared" si="3"/>
        <v>0.21388888888888888</v>
      </c>
      <c r="H5" s="3">
        <f t="shared" si="0"/>
        <v>0.28576388888888865</v>
      </c>
      <c r="I5">
        <v>2</v>
      </c>
      <c r="J5" t="s">
        <v>52</v>
      </c>
      <c r="K5">
        <v>60</v>
      </c>
      <c r="L5" t="s">
        <v>50</v>
      </c>
    </row>
    <row r="6" spans="2:12" x14ac:dyDescent="0.25">
      <c r="B6" t="s">
        <v>5</v>
      </c>
      <c r="C6" s="2">
        <v>2</v>
      </c>
      <c r="D6" s="2">
        <v>30</v>
      </c>
      <c r="E6" s="3">
        <f t="shared" si="2"/>
        <v>0.21666666666666665</v>
      </c>
      <c r="F6" s="3">
        <f t="shared" si="1"/>
        <v>0.28368055555555532</v>
      </c>
      <c r="G6" s="3">
        <f t="shared" si="3"/>
        <v>0.21631944444444443</v>
      </c>
      <c r="H6" s="3">
        <f t="shared" si="0"/>
        <v>0.2833333333333331</v>
      </c>
      <c r="I6">
        <v>22</v>
      </c>
      <c r="J6" t="s">
        <v>52</v>
      </c>
      <c r="K6">
        <v>30</v>
      </c>
      <c r="L6" t="s">
        <v>50</v>
      </c>
    </row>
    <row r="7" spans="2:12" x14ac:dyDescent="0.25">
      <c r="B7" t="s">
        <v>6</v>
      </c>
      <c r="C7" s="2">
        <v>3</v>
      </c>
      <c r="D7" s="2">
        <v>30</v>
      </c>
      <c r="E7" s="3">
        <f t="shared" si="2"/>
        <v>0.21840277777777775</v>
      </c>
      <c r="F7" s="3">
        <f t="shared" si="1"/>
        <v>0.28194444444444422</v>
      </c>
      <c r="G7" s="3">
        <f t="shared" si="3"/>
        <v>0.21805555555555553</v>
      </c>
      <c r="H7" s="3">
        <f t="shared" si="0"/>
        <v>0.281597222222222</v>
      </c>
      <c r="I7">
        <v>3</v>
      </c>
      <c r="J7" t="s">
        <v>52</v>
      </c>
      <c r="K7">
        <v>60</v>
      </c>
      <c r="L7" t="s">
        <v>51</v>
      </c>
    </row>
    <row r="8" spans="2:12" x14ac:dyDescent="0.25">
      <c r="B8" t="s">
        <v>7</v>
      </c>
      <c r="C8" s="2">
        <v>2</v>
      </c>
      <c r="D8" s="2">
        <v>30</v>
      </c>
      <c r="E8" s="3">
        <f t="shared" si="2"/>
        <v>0.2208333333333333</v>
      </c>
      <c r="F8" s="3">
        <f t="shared" si="1"/>
        <v>0.27951388888888867</v>
      </c>
      <c r="G8" s="3">
        <f t="shared" si="3"/>
        <v>0.22048611111111108</v>
      </c>
      <c r="H8" s="3">
        <f t="shared" si="0"/>
        <v>0.27916666666666645</v>
      </c>
      <c r="I8">
        <v>22</v>
      </c>
      <c r="J8" t="s">
        <v>52</v>
      </c>
      <c r="K8">
        <v>30</v>
      </c>
      <c r="L8" t="s">
        <v>51</v>
      </c>
    </row>
    <row r="9" spans="2:12" x14ac:dyDescent="0.25">
      <c r="B9" t="s">
        <v>8</v>
      </c>
      <c r="C9" s="2">
        <v>2</v>
      </c>
      <c r="D9" s="2">
        <v>30</v>
      </c>
      <c r="E9" s="3">
        <f t="shared" si="2"/>
        <v>0.2225694444444444</v>
      </c>
      <c r="F9" s="3">
        <f t="shared" si="1"/>
        <v>0.27777777777777757</v>
      </c>
      <c r="G9" s="3">
        <f t="shared" si="3"/>
        <v>0.22222222222222218</v>
      </c>
      <c r="H9" s="3">
        <f t="shared" si="0"/>
        <v>0.27743055555555535</v>
      </c>
    </row>
    <row r="10" spans="2:12" x14ac:dyDescent="0.25">
      <c r="B10" t="s">
        <v>9</v>
      </c>
      <c r="C10" s="2">
        <v>2</v>
      </c>
      <c r="D10" s="2">
        <v>30</v>
      </c>
      <c r="E10" s="3">
        <f t="shared" si="2"/>
        <v>0.22430555555555551</v>
      </c>
      <c r="F10" s="3">
        <f t="shared" si="1"/>
        <v>0.27604166666666646</v>
      </c>
      <c r="G10" s="3">
        <f t="shared" si="3"/>
        <v>0.22395833333333329</v>
      </c>
      <c r="H10" s="3">
        <f t="shared" si="0"/>
        <v>0.27569444444444424</v>
      </c>
    </row>
    <row r="11" spans="2:12" x14ac:dyDescent="0.25">
      <c r="B11" t="s">
        <v>10</v>
      </c>
      <c r="C11" s="2">
        <v>1</v>
      </c>
      <c r="D11" s="2">
        <v>30</v>
      </c>
      <c r="E11" s="3">
        <f t="shared" si="2"/>
        <v>0.22604166666666661</v>
      </c>
      <c r="F11" s="3">
        <f t="shared" si="1"/>
        <v>0.27430555555555536</v>
      </c>
      <c r="G11" s="3">
        <f t="shared" si="3"/>
        <v>0.22569444444444439</v>
      </c>
      <c r="H11" s="3">
        <f t="shared" si="0"/>
        <v>0.27395833333333314</v>
      </c>
    </row>
    <row r="12" spans="2:12" x14ac:dyDescent="0.25">
      <c r="B12" t="s">
        <v>11</v>
      </c>
      <c r="C12" s="2">
        <v>2</v>
      </c>
      <c r="D12" s="2">
        <v>30</v>
      </c>
      <c r="E12" s="3">
        <f t="shared" si="2"/>
        <v>0.22708333333333328</v>
      </c>
      <c r="F12" s="3">
        <f t="shared" si="1"/>
        <v>0.2732638888888887</v>
      </c>
      <c r="G12" s="3">
        <f t="shared" si="3"/>
        <v>0.22673611111111105</v>
      </c>
      <c r="H12" s="3">
        <f t="shared" si="0"/>
        <v>0.27291666666666647</v>
      </c>
    </row>
    <row r="13" spans="2:12" x14ac:dyDescent="0.25">
      <c r="B13" t="s">
        <v>12</v>
      </c>
      <c r="C13" s="2">
        <v>2</v>
      </c>
      <c r="D13" s="2">
        <v>60</v>
      </c>
      <c r="E13" s="3">
        <f t="shared" si="2"/>
        <v>0.2291666666666666</v>
      </c>
      <c r="F13" s="3">
        <f t="shared" si="1"/>
        <v>0.27152777777777759</v>
      </c>
      <c r="G13" s="3">
        <f t="shared" si="3"/>
        <v>0.22847222222222216</v>
      </c>
      <c r="H13" s="3">
        <f t="shared" si="0"/>
        <v>0.27083333333333315</v>
      </c>
      <c r="J13" t="s">
        <v>53</v>
      </c>
    </row>
    <row r="14" spans="2:12" x14ac:dyDescent="0.25">
      <c r="B14" t="s">
        <v>13</v>
      </c>
      <c r="C14" s="2">
        <v>3</v>
      </c>
      <c r="D14" s="2">
        <v>30</v>
      </c>
      <c r="E14" s="3">
        <f t="shared" si="2"/>
        <v>0.23090277777777771</v>
      </c>
      <c r="F14" s="3">
        <f t="shared" si="1"/>
        <v>0.26944444444444426</v>
      </c>
      <c r="G14" s="3">
        <f t="shared" si="3"/>
        <v>0.23055555555555549</v>
      </c>
      <c r="H14" s="3">
        <f t="shared" si="0"/>
        <v>0.26909722222222204</v>
      </c>
      <c r="J14">
        <f>SUM(C2:C23)</f>
        <v>48</v>
      </c>
    </row>
    <row r="15" spans="2:12" x14ac:dyDescent="0.25">
      <c r="B15" t="s">
        <v>14</v>
      </c>
      <c r="C15" s="2">
        <v>2</v>
      </c>
      <c r="D15" s="2">
        <v>30</v>
      </c>
      <c r="E15" s="3">
        <f t="shared" si="2"/>
        <v>0.23333333333333325</v>
      </c>
      <c r="F15" s="3">
        <f t="shared" si="1"/>
        <v>0.26701388888888872</v>
      </c>
      <c r="G15" s="3">
        <f t="shared" si="3"/>
        <v>0.23298611111111103</v>
      </c>
      <c r="H15" s="3">
        <f t="shared" si="0"/>
        <v>0.2666666666666665</v>
      </c>
      <c r="J15" t="s">
        <v>54</v>
      </c>
    </row>
    <row r="16" spans="2:12" x14ac:dyDescent="0.25">
      <c r="B16" t="s">
        <v>15</v>
      </c>
      <c r="C16" s="2">
        <v>2</v>
      </c>
      <c r="D16" s="2">
        <v>60</v>
      </c>
      <c r="E16" s="3">
        <f t="shared" si="2"/>
        <v>0.23541666666666658</v>
      </c>
      <c r="F16" s="3">
        <f t="shared" si="1"/>
        <v>0.26527777777777761</v>
      </c>
      <c r="G16" s="3">
        <f t="shared" si="3"/>
        <v>0.23472222222222214</v>
      </c>
      <c r="H16" s="3">
        <f t="shared" si="0"/>
        <v>0.26458333333333317</v>
      </c>
      <c r="J16">
        <f>I5*K5+I6*K6</f>
        <v>780</v>
      </c>
    </row>
    <row r="17" spans="2:12" x14ac:dyDescent="0.25">
      <c r="B17" t="s">
        <v>16</v>
      </c>
      <c r="C17" s="2">
        <v>1</v>
      </c>
      <c r="D17" s="2">
        <v>30</v>
      </c>
      <c r="E17" s="3">
        <f t="shared" si="2"/>
        <v>0.23715277777777768</v>
      </c>
      <c r="F17" s="3">
        <f t="shared" si="1"/>
        <v>0.26319444444444429</v>
      </c>
      <c r="G17" s="3">
        <f t="shared" si="3"/>
        <v>0.23680555555555546</v>
      </c>
      <c r="H17" s="3">
        <f t="shared" si="0"/>
        <v>0.26284722222222207</v>
      </c>
      <c r="J17" t="s">
        <v>55</v>
      </c>
    </row>
    <row r="18" spans="2:12" x14ac:dyDescent="0.25">
      <c r="B18" t="s">
        <v>17</v>
      </c>
      <c r="C18" s="2">
        <v>2</v>
      </c>
      <c r="D18" s="2">
        <v>30</v>
      </c>
      <c r="E18" s="3">
        <f t="shared" si="2"/>
        <v>0.23819444444444435</v>
      </c>
      <c r="F18" s="3">
        <f t="shared" si="1"/>
        <v>0.26215277777777762</v>
      </c>
      <c r="G18" s="3">
        <f t="shared" si="3"/>
        <v>0.23784722222222213</v>
      </c>
      <c r="H18" s="3">
        <f t="shared" si="0"/>
        <v>0.2618055555555554</v>
      </c>
      <c r="J18">
        <f>J14*60+J16</f>
        <v>3660</v>
      </c>
    </row>
    <row r="19" spans="2:12" x14ac:dyDescent="0.25">
      <c r="B19" t="s">
        <v>18</v>
      </c>
      <c r="C19" s="2">
        <v>2</v>
      </c>
      <c r="D19" s="2">
        <v>30</v>
      </c>
      <c r="E19" s="3">
        <f t="shared" si="2"/>
        <v>0.23993055555555545</v>
      </c>
      <c r="F19" s="3">
        <f t="shared" si="1"/>
        <v>0.26041666666666652</v>
      </c>
      <c r="G19" s="3">
        <f t="shared" si="3"/>
        <v>0.23958333333333323</v>
      </c>
      <c r="H19" s="3">
        <f t="shared" si="0"/>
        <v>0.2600694444444443</v>
      </c>
      <c r="J19" t="s">
        <v>56</v>
      </c>
    </row>
    <row r="20" spans="2:12" x14ac:dyDescent="0.25">
      <c r="B20" t="s">
        <v>19</v>
      </c>
      <c r="C20" s="2">
        <v>2</v>
      </c>
      <c r="D20" s="2">
        <v>30</v>
      </c>
      <c r="E20" s="3">
        <f t="shared" si="2"/>
        <v>0.24166666666666656</v>
      </c>
      <c r="F20" s="3">
        <f t="shared" si="1"/>
        <v>0.25868055555555541</v>
      </c>
      <c r="G20" s="3">
        <f t="shared" si="3"/>
        <v>0.24131944444444434</v>
      </c>
      <c r="H20" s="3">
        <f t="shared" si="0"/>
        <v>0.25833333333333319</v>
      </c>
      <c r="J20">
        <f>J18/60</f>
        <v>61</v>
      </c>
    </row>
    <row r="21" spans="2:12" x14ac:dyDescent="0.25">
      <c r="B21" t="s">
        <v>20</v>
      </c>
      <c r="C21" s="2">
        <v>3</v>
      </c>
      <c r="D21" s="2">
        <v>30</v>
      </c>
      <c r="E21" s="3">
        <f t="shared" si="2"/>
        <v>0.24340277777777766</v>
      </c>
      <c r="F21" s="3">
        <f t="shared" si="1"/>
        <v>0.25694444444444431</v>
      </c>
      <c r="G21" s="3">
        <f t="shared" si="3"/>
        <v>0.24305555555555544</v>
      </c>
      <c r="H21" s="3">
        <f t="shared" si="0"/>
        <v>0.25659722222222209</v>
      </c>
      <c r="J21" t="s">
        <v>58</v>
      </c>
    </row>
    <row r="22" spans="2:12" x14ac:dyDescent="0.25">
      <c r="B22" t="s">
        <v>21</v>
      </c>
      <c r="C22" s="2">
        <v>2</v>
      </c>
      <c r="D22" s="2">
        <v>30</v>
      </c>
      <c r="E22" s="3">
        <f t="shared" si="2"/>
        <v>0.24583333333333321</v>
      </c>
      <c r="F22" s="3">
        <f>F23+(C22/1440)+(D22/86400)</f>
        <v>0.25451388888888876</v>
      </c>
      <c r="G22" s="3">
        <f t="shared" si="3"/>
        <v>0.24548611111111099</v>
      </c>
      <c r="H22" s="3">
        <f>F23+(C22/1440)</f>
        <v>0.25416666666666654</v>
      </c>
      <c r="J22">
        <f>I7*K7+I8*K8</f>
        <v>840</v>
      </c>
    </row>
    <row r="23" spans="2:12" x14ac:dyDescent="0.25">
      <c r="B23" t="s">
        <v>22</v>
      </c>
      <c r="C23" s="2">
        <v>3</v>
      </c>
      <c r="D23" s="2">
        <v>30</v>
      </c>
      <c r="E23" s="3">
        <f t="shared" si="2"/>
        <v>0.24756944444444431</v>
      </c>
      <c r="F23" s="3">
        <f>E24+(C23/1440)+(D23/86400)</f>
        <v>0.25277777777777766</v>
      </c>
      <c r="G23" s="3">
        <f t="shared" si="3"/>
        <v>0.24722222222222209</v>
      </c>
      <c r="H23" s="3">
        <f>E24+(C23/1440)</f>
        <v>0.25243055555555544</v>
      </c>
      <c r="J23" t="s">
        <v>59</v>
      </c>
    </row>
    <row r="24" spans="2:12" x14ac:dyDescent="0.25">
      <c r="B24" t="s">
        <v>23</v>
      </c>
      <c r="C24" s="2"/>
      <c r="D24" s="2">
        <v>60</v>
      </c>
      <c r="E24" s="3">
        <f t="shared" si="2"/>
        <v>0.25034722222222211</v>
      </c>
      <c r="F24" s="3"/>
      <c r="G24" s="3">
        <f t="shared" si="3"/>
        <v>0.24965277777777764</v>
      </c>
      <c r="H24" s="3"/>
      <c r="J24">
        <f>J18+J14*60+J22</f>
        <v>7380</v>
      </c>
    </row>
    <row r="25" spans="2:12" x14ac:dyDescent="0.25">
      <c r="C25" s="2"/>
      <c r="D25" s="2"/>
      <c r="E25" s="2"/>
      <c r="F25" s="2"/>
      <c r="G25" s="3"/>
      <c r="H25" s="2"/>
      <c r="J25" t="s">
        <v>57</v>
      </c>
    </row>
    <row r="26" spans="2:12" x14ac:dyDescent="0.25">
      <c r="C26" s="2"/>
      <c r="D26" s="2"/>
      <c r="E26" s="2"/>
      <c r="F26" s="2"/>
      <c r="G26" s="3"/>
      <c r="H26" s="2"/>
      <c r="J26">
        <f>J24/60</f>
        <v>123</v>
      </c>
    </row>
    <row r="27" spans="2:12" x14ac:dyDescent="0.25">
      <c r="C27" s="2"/>
      <c r="D27" s="2"/>
      <c r="E27" s="2"/>
      <c r="F27" s="2"/>
      <c r="G27" s="2"/>
      <c r="H27" s="2"/>
    </row>
    <row r="29" spans="2:12" x14ac:dyDescent="0.25">
      <c r="J29" t="s">
        <v>66</v>
      </c>
      <c r="L29" s="1" t="s">
        <v>61</v>
      </c>
    </row>
    <row r="30" spans="2:12" x14ac:dyDescent="0.25">
      <c r="J30" t="s">
        <v>67</v>
      </c>
      <c r="L30" s="1" t="s">
        <v>68</v>
      </c>
    </row>
    <row r="31" spans="2:12" x14ac:dyDescent="0.25">
      <c r="J31" t="s">
        <v>69</v>
      </c>
      <c r="L31">
        <f>F23+(C22/1440)+(D22/86400)</f>
        <v>0.25451388888888876</v>
      </c>
    </row>
  </sheetData>
  <sheetProtection algorithmName="SHA-512" hashValue="v07CFnkXcMq9sfTROH5aBZj7nVasqrwh/437pCas6QLW4HGM1Exp5Oo3vT0FrmUdPiHxKoOKwq9mlOlW23+QtA==" saltValue="Xb+Copzad2AqbvADQYBM7Q==" spinCount="100000" sheet="1" objects="1" scenarios="1"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62081-C4EF-4BA2-85E3-62860C896743}">
  <dimension ref="B1:L31"/>
  <sheetViews>
    <sheetView workbookViewId="0">
      <selection activeCell="F33" sqref="F33"/>
    </sheetView>
  </sheetViews>
  <sheetFormatPr baseColWidth="10" defaultRowHeight="15" x14ac:dyDescent="0.25"/>
  <cols>
    <col min="2" max="2" width="18.7109375" bestFit="1" customWidth="1"/>
    <col min="3" max="4" width="8.5703125" bestFit="1" customWidth="1"/>
    <col min="6" max="8" width="12.28515625" customWidth="1"/>
    <col min="11" max="11" width="12.7109375" customWidth="1"/>
  </cols>
  <sheetData>
    <row r="1" spans="2:12" x14ac:dyDescent="0.25">
      <c r="B1" t="s">
        <v>46</v>
      </c>
      <c r="C1" t="s">
        <v>47</v>
      </c>
      <c r="D1" t="s">
        <v>60</v>
      </c>
      <c r="E1" t="s">
        <v>63</v>
      </c>
      <c r="F1" t="s">
        <v>62</v>
      </c>
      <c r="G1" t="s">
        <v>64</v>
      </c>
      <c r="H1" t="s">
        <v>65</v>
      </c>
    </row>
    <row r="2" spans="2:12" x14ac:dyDescent="0.25">
      <c r="B2" t="s">
        <v>1</v>
      </c>
      <c r="C2" s="2">
        <v>3</v>
      </c>
      <c r="D2" s="2">
        <v>30</v>
      </c>
      <c r="E2" s="3">
        <v>0.95138888888888884</v>
      </c>
      <c r="F2" s="3"/>
      <c r="G2" s="3"/>
      <c r="H2" s="3">
        <f t="shared" ref="H2:H21" si="0">F3+(C2/1440)</f>
        <v>1.0347222222222248</v>
      </c>
    </row>
    <row r="3" spans="2:12" x14ac:dyDescent="0.25">
      <c r="B3" t="s">
        <v>2</v>
      </c>
      <c r="C3" s="2">
        <v>2</v>
      </c>
      <c r="D3" s="2">
        <v>30</v>
      </c>
      <c r="E3" s="3">
        <f>E2+(C2/1440)+(D3/86400)</f>
        <v>0.95381944444444444</v>
      </c>
      <c r="F3" s="3">
        <f t="shared" ref="F3:F21" si="1">F4+(C3/1440)+(D3/86400)</f>
        <v>1.0326388888888913</v>
      </c>
      <c r="G3" s="3">
        <f>E2+(C2/1440)</f>
        <v>0.95347222222222217</v>
      </c>
      <c r="H3" s="3">
        <f t="shared" si="0"/>
        <v>1.032291666666669</v>
      </c>
    </row>
    <row r="4" spans="2:12" x14ac:dyDescent="0.25">
      <c r="B4" t="s">
        <v>3</v>
      </c>
      <c r="C4" s="2">
        <v>2</v>
      </c>
      <c r="D4" s="2">
        <v>30</v>
      </c>
      <c r="E4" s="3">
        <f t="shared" ref="E4:E24" si="2">E3+(C3/1440)+(D4/86400)</f>
        <v>0.9555555555555556</v>
      </c>
      <c r="F4" s="3">
        <f t="shared" si="1"/>
        <v>1.0309027777777802</v>
      </c>
      <c r="G4" s="3">
        <f t="shared" ref="G4:G26" si="3">E3+(C3/1440)</f>
        <v>0.95520833333333333</v>
      </c>
      <c r="H4" s="3">
        <f t="shared" si="0"/>
        <v>1.0305555555555579</v>
      </c>
      <c r="J4" t="s">
        <v>49</v>
      </c>
    </row>
    <row r="5" spans="2:12" x14ac:dyDescent="0.25">
      <c r="B5" t="s">
        <v>4</v>
      </c>
      <c r="C5" s="2">
        <v>3</v>
      </c>
      <c r="D5" s="2">
        <v>30</v>
      </c>
      <c r="E5" s="3">
        <f t="shared" si="2"/>
        <v>0.95729166666666676</v>
      </c>
      <c r="F5" s="3">
        <f t="shared" si="1"/>
        <v>1.029166666666669</v>
      </c>
      <c r="G5" s="3">
        <f t="shared" si="3"/>
        <v>0.95694444444444449</v>
      </c>
      <c r="H5" s="3">
        <f t="shared" si="0"/>
        <v>1.0288194444444467</v>
      </c>
      <c r="I5">
        <v>2</v>
      </c>
      <c r="J5" t="s">
        <v>52</v>
      </c>
      <c r="K5">
        <v>60</v>
      </c>
      <c r="L5" t="s">
        <v>50</v>
      </c>
    </row>
    <row r="6" spans="2:12" x14ac:dyDescent="0.25">
      <c r="B6" t="s">
        <v>5</v>
      </c>
      <c r="C6" s="2">
        <v>2</v>
      </c>
      <c r="D6" s="2">
        <v>30</v>
      </c>
      <c r="E6" s="3">
        <f t="shared" si="2"/>
        <v>0.95972222222222237</v>
      </c>
      <c r="F6" s="3">
        <f t="shared" si="1"/>
        <v>1.0267361111111133</v>
      </c>
      <c r="G6" s="3">
        <f t="shared" si="3"/>
        <v>0.95937500000000009</v>
      </c>
      <c r="H6" s="3">
        <f t="shared" si="0"/>
        <v>1.026388888888891</v>
      </c>
      <c r="I6">
        <v>22</v>
      </c>
      <c r="J6" t="s">
        <v>52</v>
      </c>
      <c r="K6">
        <v>30</v>
      </c>
      <c r="L6" t="s">
        <v>50</v>
      </c>
    </row>
    <row r="7" spans="2:12" x14ac:dyDescent="0.25">
      <c r="B7" t="s">
        <v>6</v>
      </c>
      <c r="C7" s="2">
        <v>3</v>
      </c>
      <c r="D7" s="2">
        <v>30</v>
      </c>
      <c r="E7" s="3">
        <f t="shared" si="2"/>
        <v>0.96145833333333353</v>
      </c>
      <c r="F7" s="3">
        <f t="shared" si="1"/>
        <v>1.0250000000000021</v>
      </c>
      <c r="G7" s="3">
        <f t="shared" si="3"/>
        <v>0.96111111111111125</v>
      </c>
      <c r="H7" s="3">
        <f t="shared" si="0"/>
        <v>1.0246527777777799</v>
      </c>
      <c r="I7">
        <v>3</v>
      </c>
      <c r="J7" t="s">
        <v>52</v>
      </c>
      <c r="K7">
        <v>60</v>
      </c>
      <c r="L7" t="s">
        <v>51</v>
      </c>
    </row>
    <row r="8" spans="2:12" x14ac:dyDescent="0.25">
      <c r="B8" t="s">
        <v>7</v>
      </c>
      <c r="C8" s="2">
        <v>2</v>
      </c>
      <c r="D8" s="2">
        <v>30</v>
      </c>
      <c r="E8" s="3">
        <f t="shared" si="2"/>
        <v>0.96388888888888913</v>
      </c>
      <c r="F8" s="3">
        <f t="shared" si="1"/>
        <v>1.0225694444444464</v>
      </c>
      <c r="G8" s="3">
        <f t="shared" si="3"/>
        <v>0.96354166666666685</v>
      </c>
      <c r="H8" s="3">
        <f t="shared" si="0"/>
        <v>1.0222222222222241</v>
      </c>
      <c r="I8">
        <v>22</v>
      </c>
      <c r="J8" t="s">
        <v>52</v>
      </c>
      <c r="K8">
        <v>30</v>
      </c>
      <c r="L8" t="s">
        <v>51</v>
      </c>
    </row>
    <row r="9" spans="2:12" x14ac:dyDescent="0.25">
      <c r="B9" t="s">
        <v>8</v>
      </c>
      <c r="C9" s="2">
        <v>2</v>
      </c>
      <c r="D9" s="2">
        <v>30</v>
      </c>
      <c r="E9" s="3">
        <f t="shared" si="2"/>
        <v>0.96562500000000029</v>
      </c>
      <c r="F9" s="3">
        <f t="shared" si="1"/>
        <v>1.0208333333333353</v>
      </c>
      <c r="G9" s="3">
        <f t="shared" si="3"/>
        <v>0.96527777777777801</v>
      </c>
      <c r="H9" s="3">
        <f t="shared" si="0"/>
        <v>1.020486111111113</v>
      </c>
    </row>
    <row r="10" spans="2:12" x14ac:dyDescent="0.25">
      <c r="B10" t="s">
        <v>9</v>
      </c>
      <c r="C10" s="2">
        <v>2</v>
      </c>
      <c r="D10" s="2">
        <v>30</v>
      </c>
      <c r="E10" s="3">
        <f t="shared" si="2"/>
        <v>0.96736111111111145</v>
      </c>
      <c r="F10" s="3">
        <f t="shared" si="1"/>
        <v>1.0190972222222241</v>
      </c>
      <c r="G10" s="3">
        <f t="shared" si="3"/>
        <v>0.96701388888888917</v>
      </c>
      <c r="H10" s="3">
        <f t="shared" si="0"/>
        <v>1.0187500000000018</v>
      </c>
    </row>
    <row r="11" spans="2:12" x14ac:dyDescent="0.25">
      <c r="B11" t="s">
        <v>10</v>
      </c>
      <c r="C11" s="2">
        <v>1</v>
      </c>
      <c r="D11" s="2">
        <v>30</v>
      </c>
      <c r="E11" s="3">
        <f t="shared" si="2"/>
        <v>0.96909722222222261</v>
      </c>
      <c r="F11" s="3">
        <f t="shared" si="1"/>
        <v>1.0173611111111129</v>
      </c>
      <c r="G11" s="3">
        <f t="shared" si="3"/>
        <v>0.96875000000000033</v>
      </c>
      <c r="H11" s="3">
        <f t="shared" si="0"/>
        <v>1.0170138888888907</v>
      </c>
    </row>
    <row r="12" spans="2:12" x14ac:dyDescent="0.25">
      <c r="B12" t="s">
        <v>11</v>
      </c>
      <c r="C12" s="2">
        <v>2</v>
      </c>
      <c r="D12" s="2">
        <v>30</v>
      </c>
      <c r="E12" s="3">
        <f t="shared" si="2"/>
        <v>0.97013888888888933</v>
      </c>
      <c r="F12" s="3">
        <f t="shared" si="1"/>
        <v>1.0163194444444461</v>
      </c>
      <c r="G12" s="3">
        <f t="shared" si="3"/>
        <v>0.96979166666666705</v>
      </c>
      <c r="H12" s="3">
        <f t="shared" si="0"/>
        <v>1.0159722222222238</v>
      </c>
    </row>
    <row r="13" spans="2:12" x14ac:dyDescent="0.25">
      <c r="B13" t="s">
        <v>12</v>
      </c>
      <c r="C13" s="2">
        <v>2</v>
      </c>
      <c r="D13" s="2">
        <v>60</v>
      </c>
      <c r="E13" s="3">
        <f t="shared" si="2"/>
        <v>0.97222222222222265</v>
      </c>
      <c r="F13" s="3">
        <f t="shared" si="1"/>
        <v>1.0145833333333349</v>
      </c>
      <c r="G13" s="3">
        <f t="shared" si="3"/>
        <v>0.97152777777777821</v>
      </c>
      <c r="H13" s="3">
        <f t="shared" si="0"/>
        <v>1.0138888888888904</v>
      </c>
      <c r="J13" t="s">
        <v>53</v>
      </c>
    </row>
    <row r="14" spans="2:12" x14ac:dyDescent="0.25">
      <c r="B14" t="s">
        <v>13</v>
      </c>
      <c r="C14" s="2">
        <v>3</v>
      </c>
      <c r="D14" s="2">
        <v>30</v>
      </c>
      <c r="E14" s="3">
        <f t="shared" si="2"/>
        <v>0.97395833333333381</v>
      </c>
      <c r="F14" s="3">
        <f t="shared" si="1"/>
        <v>1.0125000000000015</v>
      </c>
      <c r="G14" s="3">
        <f t="shared" si="3"/>
        <v>0.97361111111111154</v>
      </c>
      <c r="H14" s="3">
        <f t="shared" si="0"/>
        <v>1.0121527777777792</v>
      </c>
      <c r="J14">
        <f>SUM(C2:C23)</f>
        <v>48</v>
      </c>
    </row>
    <row r="15" spans="2:12" x14ac:dyDescent="0.25">
      <c r="B15" t="s">
        <v>14</v>
      </c>
      <c r="C15" s="2">
        <v>2</v>
      </c>
      <c r="D15" s="2">
        <v>30</v>
      </c>
      <c r="E15" s="3">
        <f t="shared" si="2"/>
        <v>0.97638888888888942</v>
      </c>
      <c r="F15" s="3">
        <f t="shared" si="1"/>
        <v>1.0100694444444458</v>
      </c>
      <c r="G15" s="3">
        <f t="shared" si="3"/>
        <v>0.97604166666666714</v>
      </c>
      <c r="H15" s="3">
        <f t="shared" si="0"/>
        <v>1.0097222222222235</v>
      </c>
      <c r="J15" t="s">
        <v>54</v>
      </c>
    </row>
    <row r="16" spans="2:12" x14ac:dyDescent="0.25">
      <c r="B16" t="s">
        <v>15</v>
      </c>
      <c r="C16" s="2">
        <v>2</v>
      </c>
      <c r="D16" s="2">
        <v>60</v>
      </c>
      <c r="E16" s="3">
        <f t="shared" si="2"/>
        <v>0.97847222222222274</v>
      </c>
      <c r="F16" s="3">
        <f t="shared" si="1"/>
        <v>1.0083333333333346</v>
      </c>
      <c r="G16" s="3">
        <f t="shared" si="3"/>
        <v>0.9777777777777783</v>
      </c>
      <c r="H16" s="3">
        <f t="shared" si="0"/>
        <v>1.0076388888888901</v>
      </c>
      <c r="J16">
        <f>I5*K5+I6*K6</f>
        <v>780</v>
      </c>
    </row>
    <row r="17" spans="2:12" x14ac:dyDescent="0.25">
      <c r="B17" t="s">
        <v>16</v>
      </c>
      <c r="C17" s="2">
        <v>1</v>
      </c>
      <c r="D17" s="2">
        <v>30</v>
      </c>
      <c r="E17" s="3">
        <f t="shared" si="2"/>
        <v>0.9802083333333339</v>
      </c>
      <c r="F17" s="3">
        <f t="shared" si="1"/>
        <v>1.0062500000000012</v>
      </c>
      <c r="G17" s="3">
        <f t="shared" si="3"/>
        <v>0.97986111111111163</v>
      </c>
      <c r="H17" s="3">
        <f t="shared" si="0"/>
        <v>1.0059027777777789</v>
      </c>
      <c r="J17" t="s">
        <v>55</v>
      </c>
    </row>
    <row r="18" spans="2:12" x14ac:dyDescent="0.25">
      <c r="B18" t="s">
        <v>17</v>
      </c>
      <c r="C18" s="2">
        <v>2</v>
      </c>
      <c r="D18" s="2">
        <v>30</v>
      </c>
      <c r="E18" s="3">
        <f t="shared" si="2"/>
        <v>0.98125000000000062</v>
      </c>
      <c r="F18" s="3">
        <f t="shared" si="1"/>
        <v>1.0052083333333344</v>
      </c>
      <c r="G18" s="3">
        <f t="shared" si="3"/>
        <v>0.98090277777777835</v>
      </c>
      <c r="H18" s="3">
        <f t="shared" si="0"/>
        <v>1.0048611111111121</v>
      </c>
      <c r="J18">
        <f>J14*60+J16</f>
        <v>3660</v>
      </c>
    </row>
    <row r="19" spans="2:12" x14ac:dyDescent="0.25">
      <c r="B19" t="s">
        <v>18</v>
      </c>
      <c r="C19" s="2">
        <v>2</v>
      </c>
      <c r="D19" s="2">
        <v>30</v>
      </c>
      <c r="E19" s="3">
        <f t="shared" si="2"/>
        <v>0.98298611111111178</v>
      </c>
      <c r="F19" s="3">
        <f t="shared" si="1"/>
        <v>1.0034722222222232</v>
      </c>
      <c r="G19" s="3">
        <f t="shared" si="3"/>
        <v>0.98263888888888951</v>
      </c>
      <c r="H19" s="3">
        <f t="shared" si="0"/>
        <v>1.0031250000000009</v>
      </c>
      <c r="J19" t="s">
        <v>56</v>
      </c>
    </row>
    <row r="20" spans="2:12" x14ac:dyDescent="0.25">
      <c r="B20" t="s">
        <v>19</v>
      </c>
      <c r="C20" s="2">
        <v>2</v>
      </c>
      <c r="D20" s="2">
        <v>30</v>
      </c>
      <c r="E20" s="3">
        <f t="shared" si="2"/>
        <v>0.98472222222222294</v>
      </c>
      <c r="F20" s="3">
        <f t="shared" si="1"/>
        <v>1.001736111111112</v>
      </c>
      <c r="G20" s="3">
        <f t="shared" si="3"/>
        <v>0.98437500000000067</v>
      </c>
      <c r="H20" s="3">
        <f t="shared" si="0"/>
        <v>1.0013888888888898</v>
      </c>
      <c r="J20">
        <f>J18/60</f>
        <v>61</v>
      </c>
    </row>
    <row r="21" spans="2:12" x14ac:dyDescent="0.25">
      <c r="B21" t="s">
        <v>20</v>
      </c>
      <c r="C21" s="2">
        <v>3</v>
      </c>
      <c r="D21" s="2">
        <v>30</v>
      </c>
      <c r="E21" s="3">
        <f t="shared" si="2"/>
        <v>0.9864583333333341</v>
      </c>
      <c r="F21" s="3">
        <f t="shared" si="1"/>
        <v>1.0000000000000009</v>
      </c>
      <c r="G21" s="3">
        <f t="shared" si="3"/>
        <v>0.98611111111111183</v>
      </c>
      <c r="H21" s="3">
        <f t="shared" si="0"/>
        <v>0.99965277777777872</v>
      </c>
      <c r="J21" t="s">
        <v>58</v>
      </c>
    </row>
    <row r="22" spans="2:12" x14ac:dyDescent="0.25">
      <c r="B22" t="s">
        <v>21</v>
      </c>
      <c r="C22" s="2">
        <v>2</v>
      </c>
      <c r="D22" s="2">
        <v>30</v>
      </c>
      <c r="E22" s="3">
        <f t="shared" si="2"/>
        <v>0.98888888888888971</v>
      </c>
      <c r="F22" s="3">
        <f>F23+(C22/1440)+(D22/86400)</f>
        <v>0.9975694444444454</v>
      </c>
      <c r="G22" s="3">
        <f t="shared" si="3"/>
        <v>0.98854166666666743</v>
      </c>
      <c r="H22" s="3">
        <f>F23+(C22/1440)</f>
        <v>0.99722222222222312</v>
      </c>
      <c r="J22">
        <f>I7*K7+I8*K8</f>
        <v>840</v>
      </c>
    </row>
    <row r="23" spans="2:12" x14ac:dyDescent="0.25">
      <c r="B23" t="s">
        <v>22</v>
      </c>
      <c r="C23" s="2">
        <v>3</v>
      </c>
      <c r="D23" s="2">
        <v>30</v>
      </c>
      <c r="E23" s="3">
        <f t="shared" si="2"/>
        <v>0.99062500000000087</v>
      </c>
      <c r="F23" s="3">
        <f>E24+(C23/1440)+(D23/86400)</f>
        <v>0.99583333333333424</v>
      </c>
      <c r="G23" s="3">
        <f t="shared" si="3"/>
        <v>0.99027777777777859</v>
      </c>
      <c r="H23" s="3">
        <f>E24+(C23/1440)</f>
        <v>0.99548611111111196</v>
      </c>
      <c r="J23" t="s">
        <v>59</v>
      </c>
    </row>
    <row r="24" spans="2:12" x14ac:dyDescent="0.25">
      <c r="B24" t="s">
        <v>23</v>
      </c>
      <c r="C24" s="2"/>
      <c r="D24" s="2">
        <v>60</v>
      </c>
      <c r="E24" s="3">
        <f t="shared" si="2"/>
        <v>0.99340277777777863</v>
      </c>
      <c r="F24" s="3"/>
      <c r="G24" s="3">
        <f t="shared" si="3"/>
        <v>0.99270833333333419</v>
      </c>
      <c r="H24" s="3"/>
      <c r="J24">
        <f>J18+J14*60+J22</f>
        <v>7380</v>
      </c>
    </row>
    <row r="25" spans="2:12" x14ac:dyDescent="0.25">
      <c r="C25" s="2"/>
      <c r="D25" s="2"/>
      <c r="E25" s="2"/>
      <c r="F25" s="2"/>
      <c r="G25" s="3"/>
      <c r="H25" s="2"/>
      <c r="J25" t="s">
        <v>57</v>
      </c>
    </row>
    <row r="26" spans="2:12" x14ac:dyDescent="0.25">
      <c r="C26" s="2"/>
      <c r="D26" s="2"/>
      <c r="E26" s="2"/>
      <c r="F26" s="2"/>
      <c r="G26" s="3"/>
      <c r="H26" s="2"/>
      <c r="J26">
        <f>J24/60</f>
        <v>123</v>
      </c>
    </row>
    <row r="27" spans="2:12" x14ac:dyDescent="0.25">
      <c r="C27" s="2"/>
      <c r="D27" s="2"/>
      <c r="E27" s="2"/>
      <c r="F27" s="2"/>
      <c r="G27" s="2"/>
      <c r="H27" s="2"/>
    </row>
    <row r="29" spans="2:12" x14ac:dyDescent="0.25">
      <c r="J29" t="s">
        <v>66</v>
      </c>
      <c r="L29" s="1" t="s">
        <v>61</v>
      </c>
    </row>
    <row r="30" spans="2:12" x14ac:dyDescent="0.25">
      <c r="J30" t="s">
        <v>67</v>
      </c>
      <c r="L30" s="1" t="s">
        <v>68</v>
      </c>
    </row>
    <row r="31" spans="2:12" x14ac:dyDescent="0.25">
      <c r="J31" t="s">
        <v>69</v>
      </c>
      <c r="L31">
        <f>F23+(C22/1440)+(D22/86400)</f>
        <v>0.9975694444444454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CDF6B3-30C4-4CDA-B8DC-6C10869F99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U-Bahn Haltestellen</vt:lpstr>
      <vt:lpstr>Fahrplan</vt:lpstr>
      <vt:lpstr>Fahrplan Kopie zum Testen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Zoch, Johannes</dc:creator>
  <cp:lastModifiedBy>Zoch, Johannes</cp:lastModifiedBy>
  <dcterms:created xsi:type="dcterms:W3CDTF">2026-01-21T10:18:23Z</dcterms:created>
  <dcterms:modified xsi:type="dcterms:W3CDTF">2026-02-04T22:36:30Z</dcterms:modified>
</cp:coreProperties>
</file>